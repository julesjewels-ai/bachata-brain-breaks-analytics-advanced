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Anomalies" sheetId="1" state="visible" r:id="rId1"/>
    <sheet name="Shorts Anomalies" sheetId="2" state="visible" r:id="rId2"/>
    <sheet name="Strategy" sheetId="3" state="visible" r:id="rId3"/>
    <sheet name="Visual Insigh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55555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Long Views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'Long Anomalies'!C1</f>
            </strRef>
          </tx>
          <spPr>
            <a:ln>
              <a:prstDash val="solid"/>
            </a:ln>
          </spPr>
          <cat>
            <numRef>
              <f>'Long Anomalies'!$B$2:$B$3</f>
            </numRef>
          </cat>
          <val>
            <numRef>
              <f>'Long Anomalies'!$C$2:$C$3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Video Title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Views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Shorts Views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'Shorts Anomalies'!C1</f>
            </strRef>
          </tx>
          <spPr>
            <a:ln>
              <a:prstDash val="solid"/>
            </a:ln>
          </spPr>
          <cat>
            <numRef>
              <f>'Shorts Anomalies'!$B$2</f>
            </numRef>
          </cat>
          <val>
            <numRef>
              <f>'Shorts Anomalies'!$C$2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Video Title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Views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382000" cy="5257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5" customWidth="1" min="4" max="4"/>
    <col width="10" customWidth="1" min="5" max="5"/>
  </cols>
  <sheetData>
    <row r="1">
      <c r="A1" s="1" t="inlineStr">
        <is>
          <t>Video ID</t>
        </is>
      </c>
      <c r="B1" s="1" t="inlineStr">
        <is>
          <t>Video Title</t>
        </is>
      </c>
      <c r="C1" s="1" t="inlineStr">
        <is>
          <t>Views</t>
        </is>
      </c>
      <c r="D1" s="1" t="inlineStr">
        <is>
          <t>Retention (%)</t>
        </is>
      </c>
      <c r="E1" s="1" t="inlineStr">
        <is>
          <t>Type</t>
        </is>
      </c>
    </row>
    <row r="2">
      <c r="A2" t="inlineStr">
        <is>
          <t>vid_1</t>
        </is>
      </c>
      <c r="B2" t="inlineStr">
        <is>
          <t>Basic Step Tutorial</t>
        </is>
      </c>
      <c r="C2" s="2" t="n">
        <v>496277</v>
      </c>
      <c r="D2" s="3" t="n">
        <v>62.5552645490486</v>
      </c>
      <c r="E2" t="inlineStr">
        <is>
          <t>Long</t>
        </is>
      </c>
    </row>
    <row r="3">
      <c r="A3" t="inlineStr">
        <is>
          <t>vid_14</t>
        </is>
      </c>
      <c r="B3" t="inlineStr">
        <is>
          <t>Advanced Footwork</t>
        </is>
      </c>
      <c r="C3" s="2" t="n">
        <v>359542</v>
      </c>
      <c r="D3" s="3" t="n">
        <v>35.43809670941338</v>
      </c>
      <c r="E3" t="inlineStr">
        <is>
          <t>Long</t>
        </is>
      </c>
    </row>
  </sheetData>
  <conditionalFormatting sqref="C2:C3">
    <cfRule type="dataBar" priority="1">
      <dataBar>
        <cfvo type="min"/>
        <cfvo type="max"/>
        <color rgb="00638EC6"/>
      </dataBar>
    </cfRule>
  </conditionalFormatting>
  <conditionalFormatting sqref="D2:D3">
    <cfRule type="dataBar" priority="2">
      <dataBar>
        <cfvo type="min"/>
        <cfvo type="max"/>
        <color rgb="0063C38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0" customWidth="1" min="3" max="3"/>
    <col width="15" customWidth="1" min="4" max="4"/>
    <col width="10" customWidth="1" min="5" max="5"/>
  </cols>
  <sheetData>
    <row r="1">
      <c r="A1" s="1" t="inlineStr">
        <is>
          <t>Video ID</t>
        </is>
      </c>
      <c r="B1" s="1" t="inlineStr">
        <is>
          <t>Video Title</t>
        </is>
      </c>
      <c r="C1" s="1" t="inlineStr">
        <is>
          <t>Views</t>
        </is>
      </c>
      <c r="D1" s="1" t="inlineStr">
        <is>
          <t>Retention (%)</t>
        </is>
      </c>
      <c r="E1" s="1" t="inlineStr">
        <is>
          <t>Type</t>
        </is>
      </c>
    </row>
    <row r="2">
      <c r="A2" t="inlineStr">
        <is>
          <t>vid_15</t>
        </is>
      </c>
      <c r="B2" t="inlineStr">
        <is>
          <t>Partner Connection Secrets</t>
        </is>
      </c>
      <c r="C2" s="2" t="n">
        <v>291861</v>
      </c>
      <c r="D2" s="3" t="n">
        <v>45.34207061461396</v>
      </c>
      <c r="E2" t="inlineStr">
        <is>
          <t>Shorts</t>
        </is>
      </c>
    </row>
  </sheetData>
  <conditionalFormatting sqref="C2">
    <cfRule type="dataBar" priority="1">
      <dataBar>
        <cfvo type="min"/>
        <cfvo type="max"/>
        <color rgb="00638EC6"/>
      </dataBar>
    </cfRule>
  </conditionalFormatting>
  <conditionalFormatting sqref="D2">
    <cfRule type="dataBar" priority="2">
      <dataBar>
        <cfvo type="min"/>
        <cfvo type="max"/>
        <color rgb="0063C38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Gemini Analysis</t>
        </is>
      </c>
    </row>
    <row r="2">
      <c r="A2" s="4" t="inlineStr">
        <is>
          <t>[Gemini 3 Thinking Mode] Analysis Complete:
1. Pattern Identification: High-retention videos often use 'sensual' or 'footwork' keywords.
2. Strategy: Use high-contrast thumbnails with dynamic poses.
3. Recommendation: Rename lower performers to include 'Step-by-Step' hook.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5:A25"/>
  <sheetViews>
    <sheetView workbookViewId="0">
      <selection activeCell="A1" sqref="A1"/>
    </sheetView>
  </sheetViews>
  <sheetFormatPr baseColWidth="8" defaultRowHeight="15"/>
  <sheetData>
    <row r="25">
      <c r="A25" s="5" t="inlineStr">
        <is>
          <t>Scatter plot showing relationship between Audience Retention and View Count.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2026-01-29T21:55:57Z</dcterms:created>
  <dcterms:modified xsi:type="dcterms:W3CDTF">2026-01-29T21:55:58Z</dcterms:modified>
</cp:coreProperties>
</file>