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Anomalies" sheetId="1" state="visible" r:id="rId1"/>
    <sheet name="Shorts Anomalies" sheetId="2" state="visible" r:id="rId2"/>
    <sheet name="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Long 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'Long Anomalies'!C1</f>
            </strRef>
          </tx>
          <spPr>
            <a:ln>
              <a:prstDash val="solid"/>
            </a:ln>
          </spPr>
          <cat>
            <numRef>
              <f>'Long Anomalies'!$B$2:$B$3</f>
            </numRef>
          </cat>
          <val>
            <numRef>
              <f>'Long Anomalies'!$C$2:$C$3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Video Title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Shorts 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'Shorts Anomalies'!C1</f>
            </strRef>
          </tx>
          <spPr>
            <a:ln>
              <a:prstDash val="solid"/>
            </a:ln>
          </spPr>
          <cat>
            <numRef>
              <f>'Shorts Anomalies'!$B$2</f>
            </numRef>
          </cat>
          <val>
            <numRef>
              <f>'Shorts Anomalies'!$C$2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Video Title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9" customWidth="1" min="4" max="4"/>
    <col width="10" customWidth="1" min="5" max="5"/>
  </cols>
  <sheetData>
    <row r="1">
      <c r="A1" s="1" t="inlineStr">
        <is>
          <t>Video ID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Retention (%)</t>
        </is>
      </c>
      <c r="E1" s="1" t="inlineStr">
        <is>
          <t>Type</t>
        </is>
      </c>
    </row>
    <row r="2">
      <c r="A2" t="inlineStr">
        <is>
          <t>vid_4</t>
        </is>
      </c>
      <c r="B2" t="inlineStr">
        <is>
          <t>Advanced Footwork</t>
        </is>
      </c>
      <c r="C2" s="2" t="n">
        <v>467688</v>
      </c>
      <c r="D2" s="3" t="n">
        <v>29.53460300272841</v>
      </c>
      <c r="E2" t="inlineStr">
        <is>
          <t>Long</t>
        </is>
      </c>
    </row>
    <row r="3">
      <c r="A3" t="inlineStr">
        <is>
          <t>vid_11</t>
        </is>
      </c>
      <c r="B3" t="inlineStr">
        <is>
          <t>Basic Step Tutorial</t>
        </is>
      </c>
      <c r="C3" s="2" t="n">
        <v>437550</v>
      </c>
      <c r="D3" s="3" t="n">
        <v>64.68582008952637</v>
      </c>
      <c r="E3" t="inlineStr">
        <is>
          <t>Long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10" customWidth="1" min="5" max="5"/>
  </cols>
  <sheetData>
    <row r="1">
      <c r="A1" s="1" t="inlineStr">
        <is>
          <t>Video ID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Retention (%)</t>
        </is>
      </c>
      <c r="E1" s="1" t="inlineStr">
        <is>
          <t>Type</t>
        </is>
      </c>
    </row>
    <row r="2">
      <c r="A2" t="inlineStr">
        <is>
          <t>vid_6</t>
        </is>
      </c>
      <c r="B2" t="inlineStr">
        <is>
          <t>Musicality 101</t>
        </is>
      </c>
      <c r="C2" s="2" t="n">
        <v>463508</v>
      </c>
      <c r="D2" s="3" t="n">
        <v>84.41994315409174</v>
      </c>
      <c r="E2" t="inlineStr">
        <is>
          <t>Shorts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Gemini Analysis</t>
        </is>
      </c>
    </row>
    <row r="2">
      <c r="A2" s="4" t="inlineStr">
        <is>
          <t>[Gemini 3 Thinking Mode] Analysis Complete:
1. Pattern Identification: High-retention videos often use 'sensual' or 'footwork' keywords.
2. Strategy: Use high-contrast thumbnails with dynamic poses.
3. Recommendation: Rename lower performers to include 'Step-by-Step' hook.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2026-01-26T19:51:24Z</dcterms:created>
  <dcterms:modified xsi:type="dcterms:W3CDTF">2026-01-26T19:51:24Z</dcterms:modified>
</cp:coreProperties>
</file>